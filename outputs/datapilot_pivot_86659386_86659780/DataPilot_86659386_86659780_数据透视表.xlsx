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ce109d936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6659386_图上" sheetId="1" r:id="R73591d3782eb4946"/>
    <x:sheet xmlns:r="http://schemas.openxmlformats.org/officeDocument/2006/relationships" name="86659780_图外" sheetId="2" r:id="R637f8e79d3b6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B"/>
      </x:patternFill>
    </x:fill>
    <x:fill>
      <x:patternFill patternType="solid">
        <x:fgColor rgb="FF274C77"/>
      </x:patternFill>
    </x:fill>
    <x:fill>
      <x:patternFill patternType="solid">
        <x:fgColor rgb="FFEAF1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B9C6D6"/>
      </x:left>
      <x:right style="thin">
        <x:color rgb="FFB9C6D6"/>
      </x:right>
      <x:top style="thin">
        <x:color rgb="FFB9C6D6"/>
      </x:top>
      <x:bottom style="thin">
        <x:color rgb="FFB9C6D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200" fontId="0" fillId="0" borderId="0" xfId="0" applyNumberFormat="1" applyFont="1" applyFill="1" applyBorder="1"/>
    <x:xf numFmtId="200" fontId="2" fillId="5" borderId="2" xfId="0" applyNumberFormat="1" applyFont="1" applyFill="1" applyBorder="1"/>
    <x:xf numFmtId="201" fontId="0" fillId="0" borderId="0" xfId="0" applyNumberFormat="1" applyFont="1" applyFill="1" applyBorder="1"/>
    <x:xf numFmtId="201" fontId="2" fillId="5" borderId="2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3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2" fillId="5" borderId="2" xfId="0" applyNumberFormat="1" applyFont="1" applyFill="1" applyBorder="1" applyAlignment="1">
      <x:alignment wrapText="0"/>
    </x:xf>
    <x:xf numFmtId="200" fontId="2" fillId="5" borderId="2" xfId="0" applyNumberFormat="1" applyFont="1" applyFill="1" applyBorder="1" applyAlignment="1">
      <x:alignment wrapText="0"/>
    </x:xf>
    <x:xf numFmtId="201" fontId="2" fillId="5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fe7eeed154acd" /><Relationship Type="http://schemas.openxmlformats.org/officeDocument/2006/relationships/theme" Target="/xl/theme/theme1.xml" Id="R5d1fc52af24942a3" /><Relationship Type="http://schemas.openxmlformats.org/officeDocument/2006/relationships/sharedStrings" Target="/xl/sharedStrings.xml" Id="R29274d138f724974" /><Relationship Type="http://schemas.openxmlformats.org/officeDocument/2006/relationships/worksheet" Target="/xl/worksheets/sheet1.xml" Id="R73591d3782eb4946" /><Relationship Type="http://schemas.openxmlformats.org/officeDocument/2006/relationships/worksheet" Target="/xl/worksheets/sheet2.xml" Id="R637f8e79d3b64ca3" /></Relationships>
</file>

<file path=xl/tables/table1.xml><?xml version="1.0" encoding="utf-8"?>
<x:table xmlns:x="http://schemas.openxmlformats.org/spreadsheetml/2006/main" id="1" name="Pivot86659386" displayName="Pivot86659386" ref="A6:U9" headerRowCount="1">
  <x:autoFilter ref="A6:U9"/>
  <x:tableColumns count="21">
    <x:tableColumn id="1" name="分组"/>
    <x:tableColumn id="2" name="曝光"/>
    <x:tableColumn id="3" name="曝光相对差"/>
    <x:tableColumn id="4" name="点击"/>
    <x:tableColumn id="5" name="点击相对差"/>
    <x:tableColumn id="6" name="消费"/>
    <x:tableColumn id="7" name="消费相对差"/>
    <x:tableColumn id="8" name="计费点击"/>
    <x:tableColumn id="9" name="计费点击相对差"/>
    <x:tableColumn id="10" name="计费消费"/>
    <x:tableColumn id="11" name="计费消费相对差"/>
    <x:tableColumn id="12" name="转化"/>
    <x:tableColumn id="13" name="转化相对差"/>
    <x:tableColumn id="14" name="预估转化收费"/>
    <x:tableColumn id="15" name="预估转化收费相对差"/>
    <x:tableColumn id="16" name="点击率"/>
    <x:tableColumn id="17" name="点击率相对差"/>
    <x:tableColumn id="18" name="转化率"/>
    <x:tableColumn id="19" name="转化率相对差"/>
    <x:tableColumn id="20" name="展转率"/>
    <x:tableColumn id="21" name="展转率相对差"/>
  </x:tableColumns>
  <x:tableStyleInfo name="TableStyleMedium2" showRowStripes="1"/>
</x:table>
</file>

<file path=xl/tables/table2.xml><?xml version="1.0" encoding="utf-8"?>
<x:table xmlns:x="http://schemas.openxmlformats.org/spreadsheetml/2006/main" id="2" name="Pivot86659780" displayName="Pivot86659780" ref="A6:W9" headerRowCount="1">
  <x:autoFilter ref="A6:W9"/>
  <x:tableColumns count="23">
    <x:tableColumn id="1" name="分组"/>
    <x:tableColumn id="2" name="曝光"/>
    <x:tableColumn id="3" name="曝光相对差"/>
    <x:tableColumn id="4" name="点击"/>
    <x:tableColumn id="5" name="点击相对差"/>
    <x:tableColumn id="6" name="消费"/>
    <x:tableColumn id="7" name="消费相对差"/>
    <x:tableColumn id="8" name="过滤点击"/>
    <x:tableColumn id="9" name="过滤点击相对差"/>
    <x:tableColumn id="10" name="计费点击"/>
    <x:tableColumn id="11" name="计费点击相对差"/>
    <x:tableColumn id="12" name="计费消费"/>
    <x:tableColumn id="13" name="计费消费相对差"/>
    <x:tableColumn id="14" name="转化"/>
    <x:tableColumn id="15" name="转化相对差"/>
    <x:tableColumn id="16" name="预估转化收费"/>
    <x:tableColumn id="17" name="预估转化收费相对差"/>
    <x:tableColumn id="18" name="点击率"/>
    <x:tableColumn id="19" name="点击率相对差"/>
    <x:tableColumn id="20" name="转化率"/>
    <x:tableColumn id="21" name="转化率相对差"/>
    <x:tableColumn id="22" name="展转率"/>
    <x:tableColumn id="23" name="展转率相对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b7976d9fea48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91c204ff9b41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2.220000267028809" hidden="0" customWidth="1"/>
    <x:col min="3" max="3" width="10" hidden="0" customWidth="1"/>
    <x:col min="4" max="4" width="12.220000267028809" hidden="0" customWidth="1"/>
    <x:col min="5" max="5" width="10" hidden="0" customWidth="1"/>
    <x:col min="6" max="6" width="12.220000267028809" hidden="0" customWidth="1"/>
    <x:col min="7" max="7" width="10" hidden="0" customWidth="1"/>
    <x:col min="8" max="8" width="12.220000267028809" hidden="0" customWidth="1"/>
    <x:col min="9" max="9" width="10" hidden="0" customWidth="1"/>
    <x:col min="10" max="10" width="12.220000267028809" hidden="0" customWidth="1"/>
    <x:col min="11" max="11" width="10" hidden="0" customWidth="1"/>
    <x:col min="12" max="12" width="12.220000267028809" hidden="0" customWidth="1"/>
    <x:col min="13" max="13" width="10" hidden="0" customWidth="1"/>
    <x:col min="14" max="14" width="12.220000267028809" hidden="0" customWidth="1"/>
    <x:col min="15" max="15" width="10" hidden="0" customWidth="1"/>
    <x:col min="16" max="16" width="12.220000267028809" hidden="0" customWidth="1"/>
    <x:col min="17" max="17" width="10" hidden="0" customWidth="1"/>
    <x:col min="18" max="18" width="12.220000267028809" hidden="0" customWidth="1"/>
    <x:col min="19" max="19" width="10" hidden="0" customWidth="1"/>
    <x:col min="20" max="20" width="12.220000267028809" hidden="0" customWidth="1"/>
    <x:col min="21" max="21" width="10" hidden="0" customWidth="1"/>
  </x:cols>
  <x:sheetData>
    <x:row r="1">
      <x:c r="A1" s="17" t="str">
        <x:v>DataPilot 任务 86659386 图上 数据透视表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</x:row>
    <x:row r="2">
      <x:c r="A2" s="19" t="str">
        <x:v>任务 ID</x:v>
      </x:c>
      <x:c r="B2" s="20" t="str">
        <x:v>86659386</x:v>
      </x:c>
      <x:c r="C2" s="19" t="str">
        <x:v>数据范围</x:v>
      </x:c>
      <x:c r="D2" s="20" t="str">
        <x:v>20260613 - 20260615</x:v>
      </x:c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</x:row>
    <x:row r="3">
      <x:c r="A3" s="19" t="str">
        <x:v>源 CSV</x:v>
      </x:c>
      <x:c r="B3" s="20" t="str">
        <x:v>/Users/markz/Downloads/任务ID_86659386.csv</x:v>
      </x:c>
      <x:c r="C3" s="19" t="str">
        <x:v>原始数据行数</x:v>
      </x:c>
      <x:c r="D3" s="20" t="n">
        <x:v>391</x:v>
      </x:c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</x:row>
    <x:row r="4">
      <x:c r="A4" s="19" t="str">
        <x:v>行字段</x:v>
      </x:c>
      <x:c r="B4" s="20" t="str">
        <x:v>ovl</x:v>
      </x:c>
      <x:c r="C4" s="19" t="str">
        <x:v>对照基准</x:v>
      </x:c>
      <x:c r="D4" s="20" t="str">
        <x:v>图上对照</x:v>
      </x:c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</x:row>
    <x:row r="6">
      <x:c r="A6" s="21" t="str">
        <x:v>分组</x:v>
      </x:c>
      <x:c r="B6" s="21" t="str">
        <x:v>曝光</x:v>
      </x:c>
      <x:c r="C6" s="21" t="str">
        <x:v>曝光相对差</x:v>
      </x:c>
      <x:c r="D6" s="21" t="str">
        <x:v>点击</x:v>
      </x:c>
      <x:c r="E6" s="21" t="str">
        <x:v>点击相对差</x:v>
      </x:c>
      <x:c r="F6" s="21" t="str">
        <x:v>消费</x:v>
      </x:c>
      <x:c r="G6" s="21" t="str">
        <x:v>消费相对差</x:v>
      </x:c>
      <x:c r="H6" s="21" t="str">
        <x:v>计费点击</x:v>
      </x:c>
      <x:c r="I6" s="21" t="str">
        <x:v>计费点击相对差</x:v>
      </x:c>
      <x:c r="J6" s="21" t="str">
        <x:v>计费消费</x:v>
      </x:c>
      <x:c r="K6" s="21" t="str">
        <x:v>计费消费相对差</x:v>
      </x:c>
      <x:c r="L6" s="21" t="str">
        <x:v>转化</x:v>
      </x:c>
      <x:c r="M6" s="21" t="str">
        <x:v>转化相对差</x:v>
      </x:c>
      <x:c r="N6" s="21" t="str">
        <x:v>预估转化收费</x:v>
      </x:c>
      <x:c r="O6" s="21" t="str">
        <x:v>预估转化收费相对差</x:v>
      </x:c>
      <x:c r="P6" s="21" t="str">
        <x:v>点击率</x:v>
      </x:c>
      <x:c r="Q6" s="21" t="str">
        <x:v>点击率相对差</x:v>
      </x:c>
      <x:c r="R6" s="21" t="str">
        <x:v>转化率</x:v>
      </x:c>
      <x:c r="S6" s="21" t="str">
        <x:v>转化率相对差</x:v>
      </x:c>
      <x:c r="T6" s="21" t="str">
        <x:v>展转率</x:v>
      </x:c>
      <x:c r="U6" s="21" t="str">
        <x:v>展转率相对差</x:v>
      </x:c>
    </x:row>
    <x:row r="7">
      <x:c r="A7" s="22" t="str">
        <x:v>图上对照</x:v>
      </x:c>
      <x:c r="B7" s="23" t="n">
        <x:v>493276</x:v>
      </x:c>
      <x:c r="C7" s="24" t="str">
        <x:f>""</x:f>
      </x:c>
      <x:c r="D7" s="23" t="n">
        <x:v>6356</x:v>
      </x:c>
      <x:c r="E7" s="24" t="str">
        <x:f>""</x:f>
      </x:c>
      <x:c r="F7" s="23" t="n">
        <x:v>7414.1651600000005</x:v>
      </x:c>
      <x:c r="G7" s="24" t="str">
        <x:f>""</x:f>
      </x:c>
      <x:c r="H7" s="23" t="n">
        <x:v>6162</x:v>
      </x:c>
      <x:c r="I7" s="24" t="str">
        <x:f>""</x:f>
      </x:c>
      <x:c r="J7" s="23" t="n">
        <x:v>7310.249999999999</x:v>
      </x:c>
      <x:c r="K7" s="24" t="str">
        <x:f>""</x:f>
      </x:c>
      <x:c r="L7" s="23" t="n">
        <x:v>225</x:v>
      </x:c>
      <x:c r="M7" s="24" t="str">
        <x:f>""</x:f>
      </x:c>
      <x:c r="N7" s="23" t="n">
        <x:v>6341.6900000000005</x:v>
      </x:c>
      <x:c r="O7" s="24" t="str">
        <x:f>""</x:f>
      </x:c>
      <x:c r="P7" s="24" t="n">
        <x:f>IFERROR(D7/B7,"")</x:f>
        <x:v>0.012885281262416984</x:v>
      </x:c>
      <x:c r="Q7" s="24" t="str">
        <x:f>""</x:f>
      </x:c>
      <x:c r="R7" s="24" t="n">
        <x:f>IFERROR(L7/D7,"")</x:f>
        <x:v>0.03539962240402769</x:v>
      </x:c>
      <x:c r="S7" s="24" t="str">
        <x:f>""</x:f>
      </x:c>
      <x:c r="T7" s="24" t="n">
        <x:f>IFERROR(L7/B7,"")</x:f>
        <x:v>0.00045613409125925446</x:v>
      </x:c>
      <x:c r="U7" s="24" t="str">
        <x:f>""</x:f>
      </x:c>
    </x:row>
    <x:row r="8">
      <x:c r="A8" s="22" t="str">
        <x:v>图上优惠券</x:v>
      </x:c>
      <x:c r="B8" s="23" t="n">
        <x:v>493105</x:v>
      </x:c>
      <x:c r="C8" s="24" t="n">
        <x:f>IFERROR(B8/$B$7-1,"")</x:f>
        <x:v>-0.00034666190935706</x:v>
      </x:c>
      <x:c r="D8" s="23" t="n">
        <x:v>5778</x:v>
      </x:c>
      <x:c r="E8" s="24" t="n">
        <x:f>IFERROR(D8/$D$7-1,"")</x:f>
        <x:v>-0.09093769666456886</x:v>
      </x:c>
      <x:c r="F8" s="23" t="n">
        <x:v>7425.173690000002</x:v>
      </x:c>
      <x:c r="G8" s="24" t="n">
        <x:f>IFERROR(F8/$F$7-1,"")</x:f>
        <x:v>0.001484796974768443</x:v>
      </x:c>
      <x:c r="H8" s="23" t="n">
        <x:v>5582</x:v>
      </x:c>
      <x:c r="I8" s="24" t="n">
        <x:f>IFERROR(H8/$H$7-1,"")</x:f>
        <x:v>-0.09412528399870168</x:v>
      </x:c>
      <x:c r="J8" s="23" t="n">
        <x:v>7323.79</x:v>
      </x:c>
      <x:c r="K8" s="24" t="n">
        <x:f>IFERROR(J8/$J$7-1,"")</x:f>
        <x:v>0.0018521938374200797</x:v>
      </x:c>
      <x:c r="L8" s="23" t="n">
        <x:v>187</x:v>
      </x:c>
      <x:c r="M8" s="24" t="n">
        <x:f>IFERROR(L8/$L$7-1,"")</x:f>
        <x:v>-0.16888888888888887</x:v>
      </x:c>
      <x:c r="N8" s="23" t="n">
        <x:v>7585.950000000001</x:v>
      </x:c>
      <x:c r="O8" s="24" t="n">
        <x:f>IFERROR(N8/$N$7-1,"")</x:f>
        <x:v>0.1962032202772448</x:v>
      </x:c>
      <x:c r="P8" s="24" t="n">
        <x:f>IFERROR(D8/B8,"")</x:f>
        <x:v>0.01171758550410156</x:v>
      </x:c>
      <x:c r="Q8" s="24" t="n">
        <x:f>IFERROR(P8/$P$7-1,"")</x:f>
        <x:v>-0.09062245010679659</x:v>
      </x:c>
      <x:c r="R8" s="24" t="n">
        <x:f>IFERROR(L8/D8,"")</x:f>
        <x:v>0.03236413984077535</x:v>
      </x:c>
      <x:c r="S8" s="24" t="n">
        <x:f>IFERROR(R8/$R$7-1,"")</x:f>
        <x:v>-0.08574900965347498</x:v>
      </x:c>
      <x:c r="T8" s="24" t="n">
        <x:f>IFERROR(L8/B8,"")</x:f>
        <x:v>0.0003792295758509851</x:v>
      </x:c>
      <x:c r="U8" s="24" t="n">
        <x:f>IFERROR(T8/$T$7-1,"")</x:f>
        <x:v>-0.16860067441124216</x:v>
      </x:c>
    </x:row>
    <x:row r="9">
      <x:c r="A9" s="25" t="str">
        <x:v>总计</x:v>
      </x:c>
      <x:c r="B9" s="26" t="n">
        <x:f>SUM(B7:B8)</x:f>
        <x:v>986381</x:v>
      </x:c>
      <x:c r="C9" s="27" t="str">
        <x:f>""</x:f>
      </x:c>
      <x:c r="D9" s="26" t="n">
        <x:f>SUM(D7:D8)</x:f>
        <x:v>12134</x:v>
      </x:c>
      <x:c r="E9" s="27" t="str">
        <x:f>""</x:f>
      </x:c>
      <x:c r="F9" s="26" t="n">
        <x:f>SUM(F7:F8)</x:f>
        <x:v>14839.338850000004</x:v>
      </x:c>
      <x:c r="G9" s="27" t="str">
        <x:f>""</x:f>
      </x:c>
      <x:c r="H9" s="26" t="n">
        <x:f>SUM(H7:H8)</x:f>
        <x:v>11744</x:v>
      </x:c>
      <x:c r="I9" s="27" t="str">
        <x:f>""</x:f>
      </x:c>
      <x:c r="J9" s="26" t="n">
        <x:f>SUM(J7:J8)</x:f>
        <x:v>14634.039999999999</x:v>
      </x:c>
      <x:c r="K9" s="27" t="str">
        <x:f>""</x:f>
      </x:c>
      <x:c r="L9" s="26" t="n">
        <x:f>SUM(L7:L8)</x:f>
        <x:v>412</x:v>
      </x:c>
      <x:c r="M9" s="27" t="str">
        <x:f>""</x:f>
      </x:c>
      <x:c r="N9" s="26" t="n">
        <x:f>SUM(N7:N8)</x:f>
        <x:v>13927.640000000001</x:v>
      </x:c>
      <x:c r="O9" s="27" t="str">
        <x:f>""</x:f>
      </x:c>
      <x:c r="P9" s="27" t="n">
        <x:f>IFERROR(D9/B9,"")</x:f>
        <x:v>0.012301534599713499</x:v>
      </x:c>
      <x:c r="Q9" s="27" t="str">
        <x:f>""</x:f>
      </x:c>
      <x:c r="R9" s="27" t="n">
        <x:f>IFERROR(L9/D9,"")</x:f>
        <x:v>0.03395417834184935</x:v>
      </x:c>
      <x:c r="S9" s="27" t="str">
        <x:f>""</x:f>
      </x:c>
      <x:c r="T9" s="27" t="n">
        <x:f>IFERROR(L9/B9,"")</x:f>
        <x:v>0.00041768849967710247</x:v>
      </x:c>
      <x:c r="U9" s="27" t="str">
        <x:f>""</x:f>
      </x:c>
    </x:row>
  </x:sheetData>
  <x:mergeCells>
    <x:mergeCell ref="A1:U1"/>
  </x:mergeCells>
  <x:pageMargins left="0.7" right="0.7" top="0.75" bottom="0.75" header="0.3" footer="0.3"/>
  <x:tableParts count="1">
    <x:tablePart xmlns:r="http://schemas.openxmlformats.org/officeDocument/2006/relationships" r:id="Raeb7976d9fea48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2.220000267028809" hidden="0" customWidth="1"/>
    <x:col min="3" max="3" width="10" hidden="0" customWidth="1"/>
    <x:col min="4" max="4" width="12.220000267028809" hidden="0" customWidth="1"/>
    <x:col min="5" max="5" width="10" hidden="0" customWidth="1"/>
    <x:col min="6" max="6" width="12.220000267028809" hidden="0" customWidth="1"/>
    <x:col min="7" max="7" width="10" hidden="0" customWidth="1"/>
    <x:col min="8" max="8" width="12.220000267028809" hidden="0" customWidth="1"/>
    <x:col min="9" max="9" width="10" hidden="0" customWidth="1"/>
    <x:col min="10" max="10" width="12.220000267028809" hidden="0" customWidth="1"/>
    <x:col min="11" max="11" width="10" hidden="0" customWidth="1"/>
    <x:col min="12" max="12" width="12.220000267028809" hidden="0" customWidth="1"/>
    <x:col min="13" max="13" width="10" hidden="0" customWidth="1"/>
    <x:col min="14" max="14" width="12.220000267028809" hidden="0" customWidth="1"/>
    <x:col min="15" max="15" width="10" hidden="0" customWidth="1"/>
    <x:col min="16" max="16" width="12.220000267028809" hidden="0" customWidth="1"/>
    <x:col min="17" max="17" width="10" hidden="0" customWidth="1"/>
    <x:col min="18" max="18" width="12.220000267028809" hidden="0" customWidth="1"/>
    <x:col min="19" max="19" width="10" hidden="0" customWidth="1"/>
    <x:col min="20" max="20" width="12.220000267028809" hidden="0" customWidth="1"/>
    <x:col min="21" max="21" width="10" hidden="0" customWidth="1"/>
    <x:col min="22" max="22" width="12.220000267028809" hidden="0" customWidth="1"/>
    <x:col min="23" max="23" width="10" hidden="0" customWidth="1"/>
  </x:cols>
  <x:sheetData>
    <x:row r="1">
      <x:c r="A1" s="17" t="str">
        <x:v>DataPilot 任务 86659780 图外 数据透视表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>
      <x:c r="A2" s="19" t="str">
        <x:v>任务 ID</x:v>
      </x:c>
      <x:c r="B2" s="20" t="str">
        <x:v>86659780</x:v>
      </x:c>
      <x:c r="C2" s="19" t="str">
        <x:v>数据范围</x:v>
      </x:c>
      <x:c r="D2" s="20" t="str">
        <x:v>20260613 - 20260615</x:v>
      </x:c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</x:row>
    <x:row r="3">
      <x:c r="A3" s="19" t="str">
        <x:v>源 CSV</x:v>
      </x:c>
      <x:c r="B3" s="20" t="str">
        <x:v>/Users/markz/Downloads/任务ID_86659780.csv</x:v>
      </x:c>
      <x:c r="C3" s="19" t="str">
        <x:v>原始数据行数</x:v>
      </x:c>
      <x:c r="D3" s="20" t="n">
        <x:v>386</x:v>
      </x:c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</x:row>
    <x:row r="4">
      <x:c r="A4" s="19" t="str">
        <x:v>行字段</x:v>
      </x:c>
      <x:c r="B4" s="20" t="str">
        <x:v>ovl</x:v>
      </x:c>
      <x:c r="C4" s="19" t="str">
        <x:v>对照基准</x:v>
      </x:c>
      <x:c r="D4" s="20" t="str">
        <x:v>图外对照</x:v>
      </x:c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</x:row>
    <x:row r="6">
      <x:c r="A6" s="21" t="str">
        <x:v>分组</x:v>
      </x:c>
      <x:c r="B6" s="21" t="str">
        <x:v>曝光</x:v>
      </x:c>
      <x:c r="C6" s="21" t="str">
        <x:v>曝光相对差</x:v>
      </x:c>
      <x:c r="D6" s="21" t="str">
        <x:v>点击</x:v>
      </x:c>
      <x:c r="E6" s="21" t="str">
        <x:v>点击相对差</x:v>
      </x:c>
      <x:c r="F6" s="21" t="str">
        <x:v>消费</x:v>
      </x:c>
      <x:c r="G6" s="21" t="str">
        <x:v>消费相对差</x:v>
      </x:c>
      <x:c r="H6" s="21" t="str">
        <x:v>过滤点击</x:v>
      </x:c>
      <x:c r="I6" s="21" t="str">
        <x:v>过滤点击相对差</x:v>
      </x:c>
      <x:c r="J6" s="21" t="str">
        <x:v>计费点击</x:v>
      </x:c>
      <x:c r="K6" s="21" t="str">
        <x:v>计费点击相对差</x:v>
      </x:c>
      <x:c r="L6" s="21" t="str">
        <x:v>计费消费</x:v>
      </x:c>
      <x:c r="M6" s="21" t="str">
        <x:v>计费消费相对差</x:v>
      </x:c>
      <x:c r="N6" s="21" t="str">
        <x:v>转化</x:v>
      </x:c>
      <x:c r="O6" s="21" t="str">
        <x:v>转化相对差</x:v>
      </x:c>
      <x:c r="P6" s="21" t="str">
        <x:v>预估转化收费</x:v>
      </x:c>
      <x:c r="Q6" s="21" t="str">
        <x:v>预估转化收费相对差</x:v>
      </x:c>
      <x:c r="R6" s="21" t="str">
        <x:v>点击率</x:v>
      </x:c>
      <x:c r="S6" s="21" t="str">
        <x:v>点击率相对差</x:v>
      </x:c>
      <x:c r="T6" s="21" t="str">
        <x:v>转化率</x:v>
      </x:c>
      <x:c r="U6" s="21" t="str">
        <x:v>转化率相对差</x:v>
      </x:c>
      <x:c r="V6" s="21" t="str">
        <x:v>展转率</x:v>
      </x:c>
      <x:c r="W6" s="21" t="str">
        <x:v>展转率相对差</x:v>
      </x:c>
    </x:row>
    <x:row r="7">
      <x:c r="A7" s="22" t="str">
        <x:v>图外对照</x:v>
      </x:c>
      <x:c r="B7" s="23" t="n">
        <x:v>493276</x:v>
      </x:c>
      <x:c r="C7" s="24" t="str">
        <x:f>""</x:f>
      </x:c>
      <x:c r="D7" s="23" t="n">
        <x:v>6356</x:v>
      </x:c>
      <x:c r="E7" s="24" t="str">
        <x:f>""</x:f>
      </x:c>
      <x:c r="F7" s="23" t="n">
        <x:v>7414.165159999998</x:v>
      </x:c>
      <x:c r="G7" s="24" t="str">
        <x:f>""</x:f>
      </x:c>
      <x:c r="H7" s="23" t="n">
        <x:v>753</x:v>
      </x:c>
      <x:c r="I7" s="24" t="str">
        <x:f>""</x:f>
      </x:c>
      <x:c r="J7" s="23" t="n">
        <x:v>6162</x:v>
      </x:c>
      <x:c r="K7" s="24" t="str">
        <x:f>""</x:f>
      </x:c>
      <x:c r="L7" s="23" t="n">
        <x:v>7310.249999999997</x:v>
      </x:c>
      <x:c r="M7" s="24" t="str">
        <x:f>""</x:f>
      </x:c>
      <x:c r="N7" s="23" t="n">
        <x:v>225</x:v>
      </x:c>
      <x:c r="O7" s="24" t="str">
        <x:f>""</x:f>
      </x:c>
      <x:c r="P7" s="23" t="n">
        <x:v>6341.690000000002</x:v>
      </x:c>
      <x:c r="Q7" s="24" t="str">
        <x:f>""</x:f>
      </x:c>
      <x:c r="R7" s="24" t="n">
        <x:f>IFERROR(D7/B7,"")</x:f>
        <x:v>0.012885281262416984</x:v>
      </x:c>
      <x:c r="S7" s="24" t="str">
        <x:f>""</x:f>
      </x:c>
      <x:c r="T7" s="24" t="n">
        <x:f>IFERROR(N7/D7,"")</x:f>
        <x:v>0.03539962240402769</x:v>
      </x:c>
      <x:c r="U7" s="24" t="str">
        <x:f>""</x:f>
      </x:c>
      <x:c r="V7" s="24" t="n">
        <x:f>IFERROR(N7/B7,"")</x:f>
        <x:v>0.00045613409125925446</x:v>
      </x:c>
      <x:c r="W7" s="24" t="str">
        <x:f>""</x:f>
      </x:c>
    </x:row>
    <x:row r="8">
      <x:c r="A8" s="22" t="str">
        <x:v>图外优惠券</x:v>
      </x:c>
      <x:c r="B8" s="23" t="n">
        <x:v>493326</x:v>
      </x:c>
      <x:c r="C8" s="24" t="n">
        <x:f>IFERROR(B8/$B$7-1,"")</x:f>
        <x:v>0.00010136313139086361</x:v>
      </x:c>
      <x:c r="D8" s="23" t="n">
        <x:v>6224</x:v>
      </x:c>
      <x:c r="E8" s="24" t="n">
        <x:f>IFERROR(D8/$D$7-1,"")</x:f>
        <x:v>-0.020767778477029597</x:v>
      </x:c>
      <x:c r="F8" s="23" t="n">
        <x:v>7430.4843100000035</x:v>
      </x:c>
      <x:c r="G8" s="24" t="n">
        <x:f>IFERROR(F8/$F$7-1,"")</x:f>
        <x:v>0.002201077214741387</x:v>
      </x:c>
      <x:c r="H8" s="23" t="n">
        <x:v>709</x:v>
      </x:c>
      <x:c r="I8" s="24" t="n">
        <x:f>IFERROR(H8/$H$7-1,"")</x:f>
        <x:v>-0.05843293492695878</x:v>
      </x:c>
      <x:c r="J8" s="23" t="n">
        <x:v>6023</x:v>
      </x:c>
      <x:c r="K8" s="24" t="n">
        <x:f>IFERROR(J8/$J$7-1,"")</x:f>
        <x:v>-0.02255761116520605</x:v>
      </x:c>
      <x:c r="L8" s="23" t="n">
        <x:v>7328.049999999999</x:v>
      </x:c>
      <x:c r="M8" s="24" t="n">
        <x:f>IFERROR(L8/$L$7-1,"")</x:f>
        <x:v>0.002434937245648472</x:v>
      </x:c>
      <x:c r="N8" s="23" t="n">
        <x:v>236</x:v>
      </x:c>
      <x:c r="O8" s="24" t="n">
        <x:f>IFERROR(N8/$N$7-1,"")</x:f>
        <x:v>0.04888888888888898</x:v>
      </x:c>
      <x:c r="P8" s="23" t="n">
        <x:v>7213.91</x:v>
      </x:c>
      <x:c r="Q8" s="24" t="n">
        <x:f>IFERROR(P8/$P$7-1,"")</x:f>
        <x:v>0.13753747029577235</x:v>
      </x:c>
      <x:c r="R8" s="24" t="n">
        <x:f>IFERROR(D8/B8,"")</x:f>
        <x:v>0.01261640375735315</x:v>
      </x:c>
      <x:c r="S8" s="24" t="n">
        <x:f>IFERROR(R8/$R$7-1,"")</x:f>
        <x:v>-0.020867026461275584</x:v>
      </x:c>
      <x:c r="T8" s="24" t="n">
        <x:f>IFERROR(N8/D8,"")</x:f>
        <x:v>0.037917737789203085</x:v>
      </x:c>
      <x:c r="U8" s="24" t="n">
        <x:f>IFERROR(T8/$T$7-1,"")</x:f>
        <x:v>0.07113396172522135</x:v>
      </x:c>
      <x:c r="V8" s="24" t="n">
        <x:f>IFERROR(N8/B8,"")</x:f>
        <x:v>0.0004783854895140333</x:v>
      </x:c>
      <x:c r="W8" s="24" t="n">
        <x:f>IFERROR(V8/$V$7-1,"")</x:f>
        <x:v>0.04878258100233013</x:v>
      </x:c>
    </x:row>
    <x:row r="9">
      <x:c r="A9" s="25" t="str">
        <x:v>总计</x:v>
      </x:c>
      <x:c r="B9" s="26" t="n">
        <x:f>SUM(B7:B8)</x:f>
        <x:v>986602</x:v>
      </x:c>
      <x:c r="C9" s="27" t="str">
        <x:f>""</x:f>
      </x:c>
      <x:c r="D9" s="26" t="n">
        <x:f>SUM(D7:D8)</x:f>
        <x:v>12580</x:v>
      </x:c>
      <x:c r="E9" s="27" t="str">
        <x:f>""</x:f>
      </x:c>
      <x:c r="F9" s="26" t="n">
        <x:f>SUM(F7:F8)</x:f>
        <x:v>14844.64947</x:v>
      </x:c>
      <x:c r="G9" s="27" t="str">
        <x:f>""</x:f>
      </x:c>
      <x:c r="H9" s="26" t="n">
        <x:f>SUM(H7:H8)</x:f>
        <x:v>1462</x:v>
      </x:c>
      <x:c r="I9" s="27" t="str">
        <x:f>""</x:f>
      </x:c>
      <x:c r="J9" s="26" t="n">
        <x:f>SUM(J7:J8)</x:f>
        <x:v>12185</x:v>
      </x:c>
      <x:c r="K9" s="27" t="str">
        <x:f>""</x:f>
      </x:c>
      <x:c r="L9" s="26" t="n">
        <x:f>SUM(L7:L8)</x:f>
        <x:v>14638.299999999996</x:v>
      </x:c>
      <x:c r="M9" s="27" t="str">
        <x:f>""</x:f>
      </x:c>
      <x:c r="N9" s="26" t="n">
        <x:f>SUM(N7:N8)</x:f>
        <x:v>461</x:v>
      </x:c>
      <x:c r="O9" s="27" t="str">
        <x:f>""</x:f>
      </x:c>
      <x:c r="P9" s="26" t="n">
        <x:f>SUM(P7:P8)</x:f>
        <x:v>13555.600000000002</x:v>
      </x:c>
      <x:c r="Q9" s="27" t="str">
        <x:f>""</x:f>
      </x:c>
      <x:c r="R9" s="27" t="n">
        <x:f>IFERROR(D9/B9,"")</x:f>
        <x:v>0.012750835696663902</x:v>
      </x:c>
      <x:c r="S9" s="27" t="str">
        <x:f>""</x:f>
      </x:c>
      <x:c r="T9" s="27" t="n">
        <x:f>IFERROR(N9/D9,"")</x:f>
        <x:v>0.036645468998410174</x:v>
      </x:c>
      <x:c r="U9" s="27" t="str">
        <x:f>""</x:f>
      </x:c>
      <x:c r="V9" s="27" t="n">
        <x:f>IFERROR(N9/B9,"")</x:f>
        <x:v>0.0004672603542259189</x:v>
      </x:c>
      <x:c r="W9" s="27" t="str">
        <x:f>""</x:f>
      </x:c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4f91c204ff9b4141"/>
  </x:tableParts>
</x:worksheet>
</file>